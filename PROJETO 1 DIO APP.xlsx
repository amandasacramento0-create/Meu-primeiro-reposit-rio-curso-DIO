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d\OneDrive\Imagens\Documentos\GITHUB DIO\"/>
    </mc:Choice>
  </mc:AlternateContent>
  <xr:revisionPtr revIDLastSave="0" documentId="8_{DE61F892-2004-4507-AB3F-44FDA01B55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culadora de Dividendos" sheetId="1" r:id="rId1"/>
    <sheet name="Base" sheetId="2" r:id="rId2"/>
  </sheets>
  <definedNames>
    <definedName name="aporte">'Calculadora de Dividendos'!$F$12:$F$12</definedName>
    <definedName name="aporte_mensal">'Calculadora de Dividendos'!$E$28:$F$28</definedName>
    <definedName name="aportes">'Calculadora de Dividendos'!$F$12:$F$12</definedName>
    <definedName name="dividendos_mensais">'Calculadora de Dividendos'!$F$16:$F$16</definedName>
    <definedName name="patrimonio">'Calculadora de Dividendos'!$F$15:$F$15</definedName>
    <definedName name="qtd_anos">'Calculadora de Dividendos'!$F$13:$F$13</definedName>
    <definedName name="rendimento_carteira">'Calculadora de Dividendos'!$F$8:$F$8</definedName>
    <definedName name="salario">'Calculadora de Dividendos'!$F$7:$F$7</definedName>
    <definedName name="sugestao_investimento">'Calculadora de Dividendos'!$F$9:$F$9</definedName>
    <definedName name="taxa_mensal">'Calculadora de Dividendos'!$F$14:$F$14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20" i="1"/>
  <c r="E20" i="1"/>
  <c r="F24" i="1"/>
  <c r="E24" i="1"/>
  <c r="E23" i="1"/>
  <c r="F21" i="1"/>
  <c r="F22" i="1"/>
  <c r="F23" i="1"/>
  <c r="E31" i="1"/>
  <c r="H4" i="2"/>
  <c r="G3" i="2"/>
  <c r="E32" i="1"/>
  <c r="E33" i="1"/>
  <c r="E34" i="1"/>
  <c r="E35" i="1"/>
  <c r="E36" i="1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E28" i="1"/>
  <c r="F9" i="1"/>
  <c r="E21" i="1"/>
  <c r="E22" i="1"/>
  <c r="F32" i="1" l="1"/>
  <c r="F33" i="1"/>
  <c r="F34" i="1"/>
  <c r="F35" i="1"/>
  <c r="F36" i="1"/>
  <c r="F31" i="1"/>
  <c r="F37" i="1" s="1"/>
  <c r="H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</calcChain>
</file>

<file path=xl/sharedStrings.xml><?xml version="1.0" encoding="utf-8"?>
<sst xmlns="http://schemas.openxmlformats.org/spreadsheetml/2006/main" count="74" uniqueCount="37">
  <si>
    <r>
      <t xml:space="preserve">Calculadora de </t>
    </r>
    <r>
      <rPr>
        <b/>
        <sz val="26"/>
        <color rgb="FF7A9BB3"/>
        <rFont val="Calibri"/>
        <family val="2"/>
        <scheme val="minor"/>
      </rPr>
      <t>Dividendos</t>
    </r>
  </si>
  <si>
    <r>
      <rPr>
        <sz val="26"/>
        <color rgb="FF7A9BB3"/>
        <rFont val="Calibri"/>
        <scheme val="minor"/>
      </rPr>
      <t xml:space="preserve">FII </t>
    </r>
    <r>
      <rPr>
        <sz val="26"/>
        <color rgb="FF003C64"/>
        <rFont val="Calibri"/>
        <scheme val="minor"/>
      </rPr>
      <t>-</t>
    </r>
    <r>
      <rPr>
        <sz val="26"/>
        <color rgb="FF7A9BB3"/>
        <rFont val="Calibri"/>
        <scheme val="minor"/>
      </rPr>
      <t xml:space="preserve"> Fundos </t>
    </r>
    <r>
      <rPr>
        <sz val="26"/>
        <color rgb="FF203764"/>
        <rFont val="Calibri"/>
        <scheme val="minor"/>
      </rPr>
      <t>Imobiliários</t>
    </r>
  </si>
  <si>
    <t>~Amanda S.S.Cruz</t>
  </si>
  <si>
    <t>CONFIGURAÇÕES</t>
  </si>
  <si>
    <t>Salário</t>
  </si>
  <si>
    <t>Rendimento da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</si>
  <si>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</si>
  <si>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</si>
  <si>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</si>
  <si>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</si>
  <si>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</si>
  <si>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</si>
  <si>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</si>
  <si>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</si>
  <si>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</si>
  <si>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</si>
  <si>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</si>
  <si>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</si>
  <si>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</si>
  <si>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</si>
  <si>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</si>
  <si>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</si>
  <si>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</si>
  <si>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</si>
  <si>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</si>
  <si>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</si>
  <si>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</si>
  <si>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</si>
  <si>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 xml:space="preserve">HÍBRIDOS </t>
  </si>
  <si>
    <t>FOF's</t>
  </si>
  <si>
    <t>DESENVOLVIMENTO</t>
  </si>
  <si>
    <t>HOTELARIAS</t>
  </si>
  <si>
    <t>CHAVE</t>
  </si>
  <si>
    <t>PERFIL</t>
  </si>
  <si>
    <t>%</t>
  </si>
  <si>
    <t>Moderado</t>
  </si>
  <si>
    <t>Arrojado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</si>
</sst>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21" x14ac:knownFonts="1">
    <font>
      <sz val="11"/>
      <color theme="1"/>
      <name val="Calibri"/>
      <family val="2"/>
      <scheme val="minor"/>
    </font>
    <font>
      <sz val="18"/>
      <color rgb="FF003C64"/>
      <name val="Calibri"/>
      <family val="2"/>
      <scheme val="minor"/>
    </font>
    <font>
      <b/>
      <sz val="26"/>
      <color rgb="FF003C64"/>
      <name val="Calibri"/>
      <family val="2"/>
      <scheme val="minor"/>
    </font>
    <font>
      <b/>
      <sz val="26"/>
      <color rgb="FF7A9BB3"/>
      <name val="Calibri"/>
      <family val="2"/>
      <scheme val="minor"/>
    </font>
    <font>
      <sz val="26"/>
      <color rgb="FF7A9BB3"/>
      <name val="Calibri"/>
      <scheme val="minor"/>
    </font>
    <font>
      <sz val="26"/>
      <color rgb="FF003C64"/>
      <name val="Calibri"/>
      <scheme val="minor"/>
    </font>
    <font>
      <sz val="26"/>
      <color rgb="FF203764"/>
      <name val="Calibri"/>
      <scheme val="minor"/>
    </font>
    <font>
      <sz val="12"/>
      <color theme="1"/>
      <name val="Calibri Light"/>
      <scheme val="major"/>
    </font>
    <font>
      <b/>
      <sz val="12"/>
      <color theme="1"/>
      <name val="Calibri Light"/>
      <scheme val="major"/>
    </font>
    <font>
      <b/>
      <sz val="11"/>
      <color theme="1"/>
      <name val="Calibri Light"/>
      <scheme val="major"/>
    </font>
    <font>
      <sz val="11"/>
      <color theme="0"/>
      <name val="Calibri"/>
      <family val="2"/>
      <scheme val="minor"/>
    </font>
    <font>
      <b/>
      <sz val="10"/>
      <color theme="1"/>
      <name val="Calibri Light"/>
      <scheme val="major"/>
    </font>
    <font>
      <b/>
      <sz val="14"/>
      <color theme="0"/>
      <name val="Calibri"/>
      <family val="2"/>
      <scheme val="minor"/>
    </font>
    <font>
      <b/>
      <sz val="16"/>
      <color rgb="FFFFFFFF"/>
      <name val="Calibri"/>
      <scheme val="minor"/>
    </font>
    <font>
      <sz val="11"/>
      <color rgb="FF9C5700"/>
      <name val="Calibri"/>
      <scheme val="minor"/>
    </font>
    <font>
      <sz val="11"/>
      <color theme="1"/>
      <name val="Raavi"/>
    </font>
    <font>
      <b/>
      <sz val="18"/>
      <color theme="0"/>
      <name val="Calibri"/>
      <family val="2"/>
      <scheme val="minor"/>
    </font>
    <font>
      <b/>
      <sz val="18"/>
      <color rgb="FFFFFFFF"/>
      <name val="Calibri"/>
      <scheme val="minor"/>
    </font>
    <font>
      <sz val="11"/>
      <color theme="1"/>
      <name val="Calibri Light"/>
      <scheme val="major"/>
    </font>
    <font>
      <sz val="11"/>
      <color rgb="FF000000"/>
      <name val="Calibri Light"/>
      <scheme val="major"/>
    </font>
    <font>
      <b/>
      <sz val="12"/>
      <color rgb="FF333333"/>
      <name val="Calibri Light"/>
      <scheme val="maj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0052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43">
    <border>
      <left/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theme="2" tint="-0.249977111117893"/>
      </right>
      <top/>
      <bottom style="thin">
        <color rgb="FFAEAAAA"/>
      </bottom>
      <diagonal/>
    </border>
    <border>
      <left style="thin">
        <color rgb="FFAEAAAA"/>
      </left>
      <right style="thin">
        <color theme="2" tint="-0.249977111117893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/>
      <diagonal/>
    </border>
    <border>
      <left style="thin">
        <color rgb="FFAEAAAA"/>
      </left>
      <right style="thin">
        <color theme="2" tint="-0.249977111117893"/>
      </right>
      <top style="thin">
        <color rgb="FFAEAAAA"/>
      </top>
      <bottom/>
      <diagonal/>
    </border>
    <border>
      <left style="medium">
        <color rgb="FF003F4F"/>
      </left>
      <right/>
      <top/>
      <bottom/>
      <diagonal/>
    </border>
    <border>
      <left/>
      <right style="medium">
        <color rgb="FF003F4F"/>
      </right>
      <top/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5245"/>
      </left>
      <right style="thin">
        <color rgb="FFAEAAAA"/>
      </right>
      <top style="medium">
        <color rgb="FF005245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rgb="FF005245"/>
      </top>
      <bottom style="thin">
        <color rgb="FFAEAAAA"/>
      </bottom>
      <diagonal/>
    </border>
    <border>
      <left style="thin">
        <color rgb="FFAEAAAA"/>
      </left>
      <right style="medium">
        <color rgb="FF005245"/>
      </right>
      <top style="medium">
        <color rgb="FF005245"/>
      </top>
      <bottom style="thin">
        <color rgb="FFAEAAAA"/>
      </bottom>
      <diagonal/>
    </border>
    <border>
      <left style="medium">
        <color rgb="FF005245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5245"/>
      </right>
      <top style="thin">
        <color rgb="FFAEAAAA"/>
      </top>
      <bottom style="thin">
        <color rgb="FFAEAAAA"/>
      </bottom>
      <diagonal/>
    </border>
    <border>
      <left style="medium">
        <color rgb="FF005245"/>
      </left>
      <right style="thin">
        <color rgb="FFAEAAAA"/>
      </right>
      <top style="thin">
        <color rgb="FFAEAAAA"/>
      </top>
      <bottom style="medium">
        <color rgb="FF005245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5245"/>
      </bottom>
      <diagonal/>
    </border>
    <border>
      <left style="thin">
        <color rgb="FFAEAAAA"/>
      </left>
      <right style="medium">
        <color rgb="FF005245"/>
      </right>
      <top style="thin">
        <color rgb="FFAEAAAA"/>
      </top>
      <bottom style="medium">
        <color rgb="FF005245"/>
      </bottom>
      <diagonal/>
    </border>
    <border>
      <left/>
      <right/>
      <top/>
      <bottom style="medium">
        <color theme="1" tint="4.9989318521683403E-2"/>
      </bottom>
      <diagonal/>
    </border>
    <border>
      <left style="dotted">
        <color theme="1" tint="4.9989318521683403E-2"/>
      </left>
      <right/>
      <top style="dotted">
        <color theme="1" tint="4.9989318521683403E-2"/>
      </top>
      <bottom/>
      <diagonal/>
    </border>
    <border>
      <left/>
      <right/>
      <top style="dotted">
        <color theme="1" tint="4.9989318521683403E-2"/>
      </top>
      <bottom/>
      <diagonal/>
    </border>
    <border>
      <left/>
      <right style="dotted">
        <color theme="1" tint="4.9989318521683403E-2"/>
      </right>
      <top style="dotted">
        <color theme="1" tint="4.9989318521683403E-2"/>
      </top>
      <bottom/>
      <diagonal/>
    </border>
    <border>
      <left style="dotted">
        <color theme="1" tint="4.9989318521683403E-2"/>
      </left>
      <right/>
      <top/>
      <bottom/>
      <diagonal/>
    </border>
    <border>
      <left/>
      <right style="dotted">
        <color theme="1" tint="4.9989318521683403E-2"/>
      </right>
      <top/>
      <bottom/>
      <diagonal/>
    </border>
    <border>
      <left style="dotted">
        <color theme="1" tint="4.9989318521683403E-2"/>
      </left>
      <right/>
      <top/>
      <bottom style="medium">
        <color theme="1" tint="4.9989318521683403E-2"/>
      </bottom>
      <diagonal/>
    </border>
    <border>
      <left/>
      <right style="dotted">
        <color theme="1" tint="4.9989318521683403E-2"/>
      </right>
      <top/>
      <bottom style="medium">
        <color theme="1" tint="4.9989318521683403E-2"/>
      </bottom>
      <diagonal/>
    </border>
    <border>
      <left style="dotted">
        <color theme="1" tint="4.9989318521683403E-2"/>
      </left>
      <right/>
      <top/>
      <bottom style="dotted">
        <color theme="1" tint="4.9989318521683403E-2"/>
      </bottom>
      <diagonal/>
    </border>
    <border>
      <left/>
      <right/>
      <top/>
      <bottom style="dotted">
        <color theme="1" tint="4.9989318521683403E-2"/>
      </bottom>
      <diagonal/>
    </border>
    <border>
      <left/>
      <right style="dotted">
        <color theme="1" tint="4.9989318521683403E-2"/>
      </right>
      <top/>
      <bottom style="dotted">
        <color theme="1" tint="4.9989318521683403E-2"/>
      </bottom>
      <diagonal/>
    </border>
  </borders>
  <cellStyleXfs count="2">
    <xf numFmtId="0" fontId="0" fillId="0" borderId="0"/>
    <xf numFmtId="0" fontId="14" fillId="4" borderId="0" applyNumberFormat="0" applyBorder="0" applyAlignment="0" applyProtection="0"/>
  </cellStyleXfs>
  <cellXfs count="81">
    <xf numFmtId="0" fontId="0" fillId="0" borderId="0" xfId="0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9" fillId="0" borderId="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8" fontId="9" fillId="3" borderId="2" xfId="0" applyNumberFormat="1" applyFont="1" applyFill="1" applyBorder="1" applyAlignment="1">
      <alignment horizontal="center"/>
    </xf>
    <xf numFmtId="8" fontId="9" fillId="3" borderId="3" xfId="0" applyNumberFormat="1" applyFont="1" applyFill="1" applyBorder="1" applyAlignment="1">
      <alignment horizontal="center"/>
    </xf>
    <xf numFmtId="0" fontId="8" fillId="0" borderId="0" xfId="0" applyFont="1"/>
    <xf numFmtId="8" fontId="9" fillId="0" borderId="0" xfId="0" applyNumberFormat="1" applyFont="1" applyAlignment="1">
      <alignment horizontal="center"/>
    </xf>
    <xf numFmtId="0" fontId="10" fillId="0" borderId="0" xfId="0" applyFont="1"/>
    <xf numFmtId="0" fontId="12" fillId="2" borderId="5" xfId="0" applyFont="1" applyFill="1" applyBorder="1" applyAlignment="1">
      <alignment horizontal="center" vertical="center"/>
    </xf>
    <xf numFmtId="0" fontId="8" fillId="3" borderId="6" xfId="0" applyFont="1" applyFill="1" applyBorder="1"/>
    <xf numFmtId="8" fontId="9" fillId="3" borderId="7" xfId="0" applyNumberFormat="1" applyFont="1" applyFill="1" applyBorder="1" applyAlignment="1">
      <alignment horizontal="center"/>
    </xf>
    <xf numFmtId="0" fontId="8" fillId="3" borderId="8" xfId="0" applyFont="1" applyFill="1" applyBorder="1"/>
    <xf numFmtId="8" fontId="9" fillId="3" borderId="9" xfId="0" applyNumberFormat="1" applyFont="1" applyFill="1" applyBorder="1" applyAlignment="1">
      <alignment horizontal="center"/>
    </xf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8" fontId="9" fillId="3" borderId="1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8" fontId="11" fillId="0" borderId="0" xfId="0" applyNumberFormat="1" applyFont="1" applyAlignment="1">
      <alignment horizontal="left"/>
    </xf>
    <xf numFmtId="9" fontId="0" fillId="0" borderId="0" xfId="0" applyNumberFormat="1"/>
    <xf numFmtId="0" fontId="15" fillId="0" borderId="0" xfId="0" applyFont="1" applyAlignment="1">
      <alignment horizontal="center" vertical="center"/>
    </xf>
    <xf numFmtId="8" fontId="11" fillId="3" borderId="1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7" borderId="31" xfId="0" applyNumberFormat="1" applyFill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8" fillId="3" borderId="0" xfId="0" applyFont="1" applyFill="1"/>
    <xf numFmtId="0" fontId="19" fillId="4" borderId="0" xfId="1" applyFont="1"/>
    <xf numFmtId="164" fontId="0" fillId="0" borderId="0" xfId="0" applyNumberFormat="1"/>
    <xf numFmtId="164" fontId="0" fillId="3" borderId="0" xfId="0" applyNumberFormat="1" applyFill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3" borderId="33" xfId="0" applyFill="1" applyBorder="1"/>
    <xf numFmtId="0" fontId="0" fillId="3" borderId="34" xfId="0" applyFill="1" applyBorder="1"/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0" borderId="36" xfId="0" applyBorder="1"/>
    <xf numFmtId="0" fontId="0" fillId="0" borderId="38" xfId="0" applyBorder="1"/>
    <xf numFmtId="0" fontId="0" fillId="0" borderId="40" xfId="0" applyBorder="1"/>
    <xf numFmtId="0" fontId="0" fillId="0" borderId="41" xfId="0" applyBorder="1"/>
    <xf numFmtId="0" fontId="0" fillId="0" borderId="41" xfId="0" applyBorder="1" applyAlignment="1">
      <alignment horizontal="center"/>
    </xf>
    <xf numFmtId="9" fontId="0" fillId="0" borderId="37" xfId="0" applyNumberFormat="1" applyBorder="1" applyAlignment="1">
      <alignment horizontal="center"/>
    </xf>
    <xf numFmtId="9" fontId="0" fillId="0" borderId="39" xfId="0" applyNumberFormat="1" applyBorder="1" applyAlignment="1">
      <alignment horizontal="center"/>
    </xf>
    <xf numFmtId="9" fontId="0" fillId="0" borderId="42" xfId="0" applyNumberFormat="1" applyBorder="1" applyAlignment="1">
      <alignment horizontal="center"/>
    </xf>
    <xf numFmtId="9" fontId="0" fillId="0" borderId="37" xfId="0" applyNumberFormat="1" applyBorder="1" applyAlignment="1">
      <alignment wrapText="1"/>
    </xf>
    <xf numFmtId="9" fontId="0" fillId="0" borderId="42" xfId="0" applyNumberFormat="1" applyBorder="1" applyAlignment="1">
      <alignment wrapText="1"/>
    </xf>
    <xf numFmtId="9" fontId="0" fillId="0" borderId="39" xfId="0" applyNumberFormat="1" applyBorder="1" applyAlignment="1">
      <alignment wrapText="1"/>
    </xf>
    <xf numFmtId="9" fontId="0" fillId="0" borderId="0" xfId="0" applyNumberFormat="1" applyAlignment="1">
      <alignment horizontal="center" wrapText="1"/>
    </xf>
    <xf numFmtId="9" fontId="20" fillId="0" borderId="0" xfId="0" applyNumberFormat="1" applyFont="1" applyAlignment="1">
      <alignment wrapText="1"/>
    </xf>
    <xf numFmtId="8" fontId="0" fillId="0" borderId="0" xfId="0" applyNumberFormat="1"/>
    <xf numFmtId="9" fontId="9" fillId="0" borderId="2" xfId="0" applyNumberFormat="1" applyFont="1" applyBorder="1" applyAlignment="1">
      <alignment horizontal="center"/>
    </xf>
    <xf numFmtId="9" fontId="0" fillId="0" borderId="28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9" fillId="4" borderId="0" xfId="1" applyFon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3" fillId="5" borderId="21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2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left"/>
    </xf>
    <xf numFmtId="0" fontId="7" fillId="6" borderId="25" xfId="0" applyFont="1" applyFill="1" applyBorder="1" applyAlignment="1">
      <alignment horizontal="left"/>
    </xf>
    <xf numFmtId="0" fontId="7" fillId="6" borderId="27" xfId="0" applyFont="1" applyFill="1" applyBorder="1" applyAlignment="1">
      <alignment horizontal="left"/>
    </xf>
    <xf numFmtId="0" fontId="7" fillId="6" borderId="23" xfId="0" applyFont="1" applyFill="1" applyBorder="1" applyAlignment="1">
      <alignment horizontal="left"/>
    </xf>
    <xf numFmtId="0" fontId="7" fillId="6" borderId="29" xfId="0" applyFont="1" applyFill="1" applyBorder="1" applyAlignment="1">
      <alignment horizontal="left"/>
    </xf>
    <xf numFmtId="0" fontId="7" fillId="6" borderId="30" xfId="0" applyFont="1" applyFill="1" applyBorder="1" applyAlignment="1">
      <alignment horizontal="left"/>
    </xf>
    <xf numFmtId="0" fontId="16" fillId="2" borderId="0" xfId="0" applyFont="1" applyFill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left"/>
    </xf>
    <xf numFmtId="0" fontId="7" fillId="7" borderId="18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8" xfId="0" applyFont="1" applyFill="1" applyBorder="1" applyAlignment="1">
      <alignment horizontal="left"/>
    </xf>
    <xf numFmtId="0" fontId="8" fillId="3" borderId="19" xfId="0" applyFont="1" applyFill="1" applyBorder="1" applyAlignment="1">
      <alignment horizontal="left"/>
    </xf>
    <xf numFmtId="0" fontId="8" fillId="3" borderId="20" xfId="0" applyFont="1" applyFill="1" applyBorder="1" applyAlignment="1">
      <alignment horizontal="left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F2F2F2"/>
      <color rgb="FF1F4E78"/>
      <color rgb="FF005245"/>
      <color rgb="FFAEAAAA"/>
      <color rgb="FF002060"/>
      <color rgb="FF00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'Calculadora de Dividendos'!$E$30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0C-402D-868B-D4E97A5C93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0C-402D-868B-D4E97A5C93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0C-402D-868B-D4E97A5C93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0C-402D-868B-D4E97A5C93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0C-402D-868B-D4E97A5C93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0C-402D-868B-D4E97A5C93BE}"/>
              </c:ext>
            </c:extLst>
          </c:dPt>
          <c:cat>
            <c:strRef>
              <c:f>'Calculadora de Dividendos'!$D$31:$D$36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 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'Calculadora de Dividendos'!$E$31:$E$36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F-4D90-AD12-1972EE5B4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3</xdr:col>
      <xdr:colOff>314325</xdr:colOff>
      <xdr:row>4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AB2083-E3A5-9794-67EF-C1AE0704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0490" t="18843" r="18960" b="16489"/>
        <a:stretch>
          <a:fillRect/>
        </a:stretch>
      </xdr:blipFill>
      <xdr:spPr>
        <a:xfrm>
          <a:off x="76200" y="66675"/>
          <a:ext cx="2247900" cy="1371600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37</xdr:row>
      <xdr:rowOff>104775</xdr:rowOff>
    </xdr:from>
    <xdr:to>
      <xdr:col>5</xdr:col>
      <xdr:colOff>895350</xdr:colOff>
      <xdr:row>46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B10353-AE19-CC4E-16DC-807176FF82C7}"/>
            </a:ext>
            <a:ext uri="{147F2762-F138-4A5C-976F-8EAC2B608ADB}">
              <a16:predDERef xmlns:a16="http://schemas.microsoft.com/office/drawing/2014/main" pred="{EDAB2083-E3A5-9794-67EF-C1AE07047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C1:M48"/>
  <sheetViews>
    <sheetView showGridLines="0" tabSelected="1" topLeftCell="A20" workbookViewId="0">
      <selection activeCell="H16" sqref="H16"/>
    </sheetView>
  </sheetViews>
  <sheetFormatPr defaultColWidth="0" defaultRowHeight="0" customHeight="1" zeroHeight="1" x14ac:dyDescent="0.25"/>
  <cols>
    <col min="1" max="1" width="10.28515625" customWidth="1"/>
    <col min="2" max="2" width="9.7109375" customWidth="1"/>
    <col min="3" max="3" width="10.140625" customWidth="1"/>
    <col min="4" max="4" width="42.42578125" customWidth="1"/>
    <col min="5" max="5" width="36.5703125" bestFit="1" customWidth="1"/>
    <col min="6" max="6" width="15" bestFit="1" customWidth="1"/>
    <col min="7" max="7" width="7.7109375" customWidth="1"/>
    <col min="8" max="8" width="43.28515625" customWidth="1"/>
    <col min="9" max="12" width="9.140625" hidden="1" customWidth="1"/>
    <col min="13" max="13" width="9.140625" hidden="1"/>
  </cols>
  <sheetData>
    <row r="1" spans="4:8" ht="15" x14ac:dyDescent="0.25"/>
    <row r="2" spans="4:8" ht="33.75" x14ac:dyDescent="0.25">
      <c r="D2" s="56" t="s">
        <v>0</v>
      </c>
      <c r="E2" s="56"/>
      <c r="F2" s="56"/>
      <c r="G2" s="3"/>
      <c r="H2" s="3"/>
    </row>
    <row r="3" spans="4:8" ht="33.75" x14ac:dyDescent="0.25">
      <c r="D3" s="57" t="s">
        <v>1</v>
      </c>
      <c r="E3" s="57"/>
      <c r="F3" s="57"/>
      <c r="G3" s="2"/>
      <c r="H3" s="2"/>
    </row>
    <row r="4" spans="4:8" ht="15.75" customHeight="1" x14ac:dyDescent="0.25">
      <c r="D4" s="1"/>
      <c r="E4" s="23" t="s">
        <v>2</v>
      </c>
    </row>
    <row r="5" spans="4:8" ht="21.75" customHeight="1" x14ac:dyDescent="0.25">
      <c r="D5" s="1"/>
    </row>
    <row r="6" spans="4:8" ht="27" customHeight="1" x14ac:dyDescent="0.25">
      <c r="D6" s="61" t="s">
        <v>3</v>
      </c>
      <c r="E6" s="62"/>
      <c r="F6" s="63"/>
    </row>
    <row r="7" spans="4:8" ht="18.75" customHeight="1" x14ac:dyDescent="0.25">
      <c r="D7" s="64" t="s">
        <v>4</v>
      </c>
      <c r="E7" s="65"/>
      <c r="F7" s="26">
        <v>2000</v>
      </c>
    </row>
    <row r="8" spans="4:8" ht="18.75" customHeight="1" x14ac:dyDescent="0.25">
      <c r="D8" s="66" t="s">
        <v>5</v>
      </c>
      <c r="E8" s="67"/>
      <c r="F8" s="55">
        <v>0.01</v>
      </c>
    </row>
    <row r="9" spans="4:8" ht="18.75" customHeight="1" x14ac:dyDescent="0.25">
      <c r="D9" s="68" t="s">
        <v>6</v>
      </c>
      <c r="E9" s="69"/>
      <c r="F9" s="27">
        <f>F7*30%</f>
        <v>600</v>
      </c>
    </row>
    <row r="10" spans="4:8" ht="18.75" customHeight="1" x14ac:dyDescent="0.25">
      <c r="D10" s="1"/>
    </row>
    <row r="11" spans="4:8" ht="37.5" customHeight="1" x14ac:dyDescent="0.25">
      <c r="D11" s="70" t="s">
        <v>7</v>
      </c>
      <c r="E11" s="70"/>
      <c r="F11" s="70"/>
    </row>
    <row r="12" spans="4:8" ht="15.75" x14ac:dyDescent="0.25">
      <c r="D12" s="75" t="s">
        <v>8</v>
      </c>
      <c r="E12" s="76"/>
      <c r="F12" s="4">
        <v>200</v>
      </c>
    </row>
    <row r="13" spans="4:8" ht="15.75" x14ac:dyDescent="0.25">
      <c r="D13" s="73" t="s">
        <v>9</v>
      </c>
      <c r="E13" s="74"/>
      <c r="F13" s="5">
        <v>5</v>
      </c>
    </row>
    <row r="14" spans="4:8" ht="15.75" x14ac:dyDescent="0.25">
      <c r="D14" s="73" t="s">
        <v>10</v>
      </c>
      <c r="E14" s="74"/>
      <c r="F14" s="54">
        <v>0.01</v>
      </c>
    </row>
    <row r="15" spans="4:8" ht="15.75" x14ac:dyDescent="0.25">
      <c r="D15" s="77" t="s">
        <v>11</v>
      </c>
      <c r="E15" s="78"/>
      <c r="F15" s="6">
        <f>FV($F$14,5*12,200*-1)</f>
        <v>16333.933971281826</v>
      </c>
    </row>
    <row r="16" spans="4:8" ht="15.75" x14ac:dyDescent="0.25">
      <c r="D16" s="79" t="s">
        <v>12</v>
      </c>
      <c r="E16" s="80"/>
      <c r="F16" s="7">
        <f>F15*$F$8</f>
        <v>163.33933971281826</v>
      </c>
    </row>
    <row r="17" spans="3:8" ht="15.75" x14ac:dyDescent="0.25">
      <c r="D17" s="8"/>
      <c r="E17" s="9"/>
      <c r="H17" s="22"/>
    </row>
    <row r="18" spans="3:8" ht="15" x14ac:dyDescent="0.25"/>
    <row r="19" spans="3:8" ht="31.5" customHeight="1" x14ac:dyDescent="0.25">
      <c r="D19" s="71" t="s">
        <v>13</v>
      </c>
      <c r="E19" s="72"/>
      <c r="F19" s="11" t="s">
        <v>14</v>
      </c>
      <c r="G19" s="20"/>
      <c r="H19" s="52"/>
    </row>
    <row r="20" spans="3:8" ht="15.75" x14ac:dyDescent="0.25">
      <c r="C20" s="10">
        <v>2</v>
      </c>
      <c r="D20" s="12" t="s">
        <v>15</v>
      </c>
      <c r="E20" s="13">
        <f>FV($F$14,$C20*12,$F$12*-1)</f>
        <v>5394.6929706382998</v>
      </c>
      <c r="F20" s="24">
        <f>$E20*$F$14</f>
        <v>53.946929706383003</v>
      </c>
      <c r="G20" s="21"/>
      <c r="H20" s="53"/>
    </row>
    <row r="21" spans="3:8" ht="15.75" x14ac:dyDescent="0.25">
      <c r="C21" s="10">
        <v>5</v>
      </c>
      <c r="D21" s="14" t="s">
        <v>16</v>
      </c>
      <c r="E21" s="15">
        <f>FV($F$14,$C21*12,$F$12*-1)</f>
        <v>16333.933971281826</v>
      </c>
      <c r="F21" s="24">
        <f t="shared" ref="F21:F23" si="0">$E21*$F$14</f>
        <v>163.33933971281826</v>
      </c>
      <c r="G21" s="21"/>
    </row>
    <row r="22" spans="3:8" ht="15.75" x14ac:dyDescent="0.25">
      <c r="C22" s="10">
        <v>10</v>
      </c>
      <c r="D22" s="16" t="s">
        <v>17</v>
      </c>
      <c r="E22" s="15">
        <f>FV($F$14,$C22*12,$F$12*-1)</f>
        <v>46007.7378914734</v>
      </c>
      <c r="F22" s="24">
        <f t="shared" si="0"/>
        <v>460.07737891473403</v>
      </c>
      <c r="G22" s="21"/>
    </row>
    <row r="23" spans="3:8" ht="15.75" x14ac:dyDescent="0.25">
      <c r="C23" s="10">
        <v>20</v>
      </c>
      <c r="D23" s="17" t="s">
        <v>18</v>
      </c>
      <c r="E23" s="15">
        <f>FV($F$14,$C23*12,$F$12*-1)</f>
        <v>197851.0730774726</v>
      </c>
      <c r="F23" s="24">
        <f t="shared" si="0"/>
        <v>1978.510730774726</v>
      </c>
      <c r="G23" s="21"/>
    </row>
    <row r="24" spans="3:8" ht="15.75" x14ac:dyDescent="0.25">
      <c r="C24" s="10">
        <v>30</v>
      </c>
      <c r="D24" s="18" t="s">
        <v>19</v>
      </c>
      <c r="E24" s="19">
        <f>FV($F$14,$C24*12,$F$12*-1)</f>
        <v>698992.82655370131</v>
      </c>
      <c r="F24" s="24">
        <f>F14*E24</f>
        <v>6989.9282655370134</v>
      </c>
      <c r="G24" s="21"/>
    </row>
    <row r="25" spans="3:8" ht="15" x14ac:dyDescent="0.25"/>
    <row r="26" spans="3:8" ht="15" x14ac:dyDescent="0.25"/>
    <row r="27" spans="3:8" ht="15" x14ac:dyDescent="0.25">
      <c r="D27" s="31" t="s">
        <v>20</v>
      </c>
      <c r="E27" s="58" t="s">
        <v>21</v>
      </c>
      <c r="F27" s="58"/>
    </row>
    <row r="28" spans="3:8" ht="15" x14ac:dyDescent="0.25">
      <c r="D28" s="30" t="s">
        <v>22</v>
      </c>
      <c r="E28" s="59">
        <f>F12</f>
        <v>200</v>
      </c>
      <c r="F28" s="60"/>
    </row>
    <row r="29" spans="3:8" ht="15" x14ac:dyDescent="0.25"/>
    <row r="30" spans="3:8" ht="15" x14ac:dyDescent="0.25">
      <c r="D30" s="29" t="s">
        <v>23</v>
      </c>
      <c r="E30" s="29" t="s">
        <v>24</v>
      </c>
      <c r="F30" s="29" t="s">
        <v>25</v>
      </c>
    </row>
    <row r="31" spans="3:8" ht="15" x14ac:dyDescent="0.25">
      <c r="D31" s="25" t="s">
        <v>26</v>
      </c>
      <c r="E31" s="51">
        <f>VLOOKUP($E$27&amp;"-"&amp;$D31,Base!A2:$D$20,4,FALSE)</f>
        <v>0.3</v>
      </c>
      <c r="F31" s="32">
        <f>$E31*$E$28</f>
        <v>60</v>
      </c>
    </row>
    <row r="32" spans="3:8" ht="15" x14ac:dyDescent="0.25">
      <c r="D32" s="25" t="s">
        <v>27</v>
      </c>
      <c r="E32" s="51">
        <f>VLOOKUP($E$27&amp;"-"&amp;$D32,Base!A3:$D$20,4,FALSE)</f>
        <v>0.5</v>
      </c>
      <c r="F32" s="32">
        <f t="shared" ref="F32:F36" si="1">$E32*$E$28</f>
        <v>100</v>
      </c>
    </row>
    <row r="33" spans="4:6" ht="15" x14ac:dyDescent="0.25">
      <c r="D33" s="25" t="s">
        <v>28</v>
      </c>
      <c r="E33" s="51">
        <f>VLOOKUP($E$27&amp;"-"&amp;$D33,Base!A4:$D$20,4,FALSE)</f>
        <v>0.1</v>
      </c>
      <c r="F33" s="32">
        <f t="shared" si="1"/>
        <v>20</v>
      </c>
    </row>
    <row r="34" spans="4:6" ht="15" x14ac:dyDescent="0.25">
      <c r="D34" s="25" t="s">
        <v>29</v>
      </c>
      <c r="E34" s="51">
        <f>VLOOKUP($E$27&amp;"-"&amp;$D34,Base!A5:$D$20,4,FALSE)</f>
        <v>0.1</v>
      </c>
      <c r="F34" s="32">
        <f t="shared" si="1"/>
        <v>20</v>
      </c>
    </row>
    <row r="35" spans="4:6" ht="15" x14ac:dyDescent="0.25">
      <c r="D35" s="25" t="s">
        <v>30</v>
      </c>
      <c r="E35" s="51">
        <f>VLOOKUP($E$27&amp;"-"&amp;$D35,Base!A6:$D$20,4,FALSE)</f>
        <v>0</v>
      </c>
      <c r="F35" s="32">
        <f t="shared" si="1"/>
        <v>0</v>
      </c>
    </row>
    <row r="36" spans="4:6" ht="15" x14ac:dyDescent="0.25">
      <c r="D36" s="25" t="s">
        <v>31</v>
      </c>
      <c r="E36" s="51">
        <f>VLOOKUP($E$27&amp;"-"&amp;$D36,Base!A7:$D$20,4,FALSE)</f>
        <v>0</v>
      </c>
      <c r="F36" s="32">
        <f t="shared" si="1"/>
        <v>0</v>
      </c>
    </row>
    <row r="37" spans="4:6" ht="15" x14ac:dyDescent="0.25">
      <c r="D37" s="29"/>
      <c r="E37" s="28"/>
      <c r="F37" s="33">
        <f>SUM(F31:F36)</f>
        <v>200</v>
      </c>
    </row>
    <row r="38" spans="4:6" ht="15" x14ac:dyDescent="0.25">
      <c r="D38" s="25"/>
    </row>
    <row r="39" spans="4:6" ht="15" x14ac:dyDescent="0.25">
      <c r="D39" s="25"/>
    </row>
    <row r="40" spans="4:6" ht="15" x14ac:dyDescent="0.25">
      <c r="D40" s="25"/>
    </row>
    <row r="41" spans="4:6" ht="15" x14ac:dyDescent="0.25">
      <c r="D41" s="25"/>
    </row>
    <row r="42" spans="4:6" ht="15" x14ac:dyDescent="0.25">
      <c r="D42" s="25"/>
    </row>
    <row r="43" spans="4:6" ht="15" x14ac:dyDescent="0.25">
      <c r="D43" s="25"/>
    </row>
    <row r="44" spans="4:6" ht="15" x14ac:dyDescent="0.25">
      <c r="D44" s="25"/>
    </row>
    <row r="45" spans="4:6" ht="15" x14ac:dyDescent="0.25">
      <c r="D45" s="25"/>
    </row>
    <row r="46" spans="4:6" ht="15" x14ac:dyDescent="0.25">
      <c r="D46" s="25"/>
    </row>
    <row r="47" spans="4:6" ht="15" x14ac:dyDescent="0.25">
      <c r="D47" s="25"/>
    </row>
    <row r="48" spans="4:6" ht="15" x14ac:dyDescent="0.25">
      <c r="D48" s="25"/>
    </row>
  </sheetData>
  <mergeCells count="15">
    <mergeCell ref="D2:F2"/>
    <mergeCell ref="D3:F3"/>
    <mergeCell ref="E27:F27"/>
    <mergeCell ref="E28:F28"/>
    <mergeCell ref="D6:F6"/>
    <mergeCell ref="D7:E7"/>
    <mergeCell ref="D8:E8"/>
    <mergeCell ref="D9:E9"/>
    <mergeCell ref="D11:F11"/>
    <mergeCell ref="D19:E19"/>
    <mergeCell ref="D13:E13"/>
    <mergeCell ref="D14:E14"/>
    <mergeCell ref="D12:E12"/>
    <mergeCell ref="D15:E15"/>
    <mergeCell ref="D16:E16"/>
  </mergeCells>
  <dataValidations count="1">
    <dataValidation type="list" allowBlank="1" showInputMessage="1" showErrorMessage="1" sqref="E27:F27" xr:uid="{B9405903-AD7F-4146-91FF-094B4486353E}">
      <formula1>"Conservador,Moderado,Arrojado"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B04CE-D1B5-48AB-86B9-49CBE449B40A}">
  <dimension ref="A1:H20"/>
  <sheetViews>
    <sheetView showGridLines="0" showRowColHeaders="0" workbookViewId="0">
      <selection activeCell="E8" sqref="E8"/>
    </sheetView>
  </sheetViews>
  <sheetFormatPr defaultRowHeight="15" x14ac:dyDescent="0.25"/>
  <cols>
    <col min="1" max="1" width="30.28515625" bestFit="1" customWidth="1"/>
    <col min="2" max="2" width="19.28515625" customWidth="1"/>
    <col min="3" max="3" width="18.7109375" bestFit="1" customWidth="1"/>
    <col min="7" max="7" width="30.28515625" bestFit="1" customWidth="1"/>
    <col min="8" max="8" width="36.5703125" bestFit="1" customWidth="1"/>
  </cols>
  <sheetData>
    <row r="1" spans="1:8" ht="17.25" customHeight="1" x14ac:dyDescent="0.25"/>
    <row r="2" spans="1:8" ht="17.25" customHeight="1" x14ac:dyDescent="0.25">
      <c r="A2" s="36" t="s">
        <v>32</v>
      </c>
      <c r="B2" s="37" t="s">
        <v>33</v>
      </c>
      <c r="C2" s="38" t="s">
        <v>23</v>
      </c>
      <c r="D2" s="39" t="s">
        <v>34</v>
      </c>
      <c r="G2" s="36" t="s">
        <v>32</v>
      </c>
      <c r="H2" s="39" t="s">
        <v>34</v>
      </c>
    </row>
    <row r="3" spans="1:8" ht="17.25" customHeight="1" x14ac:dyDescent="0.25">
      <c r="A3" s="40" t="str">
        <f>$B3&amp;"-"&amp;$C3</f>
        <v>Conservador-PAPEL</v>
      </c>
      <c r="B3" t="s">
        <v>21</v>
      </c>
      <c r="C3" s="25" t="s">
        <v>26</v>
      </c>
      <c r="D3" s="45">
        <v>0.3</v>
      </c>
      <c r="G3" s="40" t="str">
        <f>$B3&amp;"-"&amp;$C3</f>
        <v>Conservador-PAPEL</v>
      </c>
      <c r="H3" s="48">
        <f t="shared" ref="H3:H20" si="0">VLOOKUP(G3,$A:$D,4,FALSE)</f>
        <v>0.3</v>
      </c>
    </row>
    <row r="4" spans="1:8" ht="17.25" customHeight="1" x14ac:dyDescent="0.25">
      <c r="A4" s="40" t="str">
        <f t="shared" ref="A4:A20" si="1">$B4&amp;"-"&amp;$C4</f>
        <v>Conservador-TIJOLO</v>
      </c>
      <c r="B4" t="s">
        <v>21</v>
      </c>
      <c r="C4" s="25" t="s">
        <v>27</v>
      </c>
      <c r="D4" s="45">
        <v>0.5</v>
      </c>
      <c r="G4" s="40" t="str">
        <f t="shared" ref="G4:G20" si="2">$B4&amp;"-"&amp;$C4</f>
        <v>Conservador-TIJOLO</v>
      </c>
      <c r="H4" s="48">
        <f>VLOOKUP(G4,$A:$D,4,FALSE)</f>
        <v>0.5</v>
      </c>
    </row>
    <row r="5" spans="1:8" ht="17.25" customHeight="1" x14ac:dyDescent="0.25">
      <c r="A5" s="40" t="str">
        <f t="shared" si="1"/>
        <v xml:space="preserve">Conservador-HÍBRIDOS </v>
      </c>
      <c r="B5" t="s">
        <v>21</v>
      </c>
      <c r="C5" s="25" t="s">
        <v>28</v>
      </c>
      <c r="D5" s="45">
        <v>0.1</v>
      </c>
      <c r="G5" s="40" t="str">
        <f t="shared" si="2"/>
        <v xml:space="preserve">Conservador-HÍBRIDOS </v>
      </c>
      <c r="H5" s="48">
        <f t="shared" si="0"/>
        <v>0.1</v>
      </c>
    </row>
    <row r="6" spans="1:8" ht="17.25" customHeight="1" x14ac:dyDescent="0.25">
      <c r="A6" s="40" t="str">
        <f t="shared" si="1"/>
        <v>Conservador-FOF's</v>
      </c>
      <c r="B6" t="s">
        <v>21</v>
      </c>
      <c r="C6" s="25" t="s">
        <v>29</v>
      </c>
      <c r="D6" s="45">
        <v>0.1</v>
      </c>
      <c r="G6" s="40" t="str">
        <f t="shared" si="2"/>
        <v>Conservador-FOF's</v>
      </c>
      <c r="H6" s="48">
        <f t="shared" si="0"/>
        <v>0.1</v>
      </c>
    </row>
    <row r="7" spans="1:8" ht="17.25" customHeight="1" x14ac:dyDescent="0.25">
      <c r="A7" s="40" t="str">
        <f t="shared" si="1"/>
        <v>Conservador-DESENVOLVIMENTO</v>
      </c>
      <c r="B7" t="s">
        <v>21</v>
      </c>
      <c r="C7" s="25" t="s">
        <v>30</v>
      </c>
      <c r="D7" s="45">
        <v>0</v>
      </c>
      <c r="G7" s="40" t="str">
        <f t="shared" si="2"/>
        <v>Conservador-DESENVOLVIMENTO</v>
      </c>
      <c r="H7" s="48">
        <f t="shared" si="0"/>
        <v>0</v>
      </c>
    </row>
    <row r="8" spans="1:8" ht="17.25" customHeight="1" x14ac:dyDescent="0.25">
      <c r="A8" s="41" t="str">
        <f t="shared" si="1"/>
        <v>Conservador-HOTELARIAS</v>
      </c>
      <c r="B8" s="34" t="s">
        <v>21</v>
      </c>
      <c r="C8" s="35" t="s">
        <v>31</v>
      </c>
      <c r="D8" s="46">
        <v>0</v>
      </c>
      <c r="G8" s="41" t="str">
        <f t="shared" si="2"/>
        <v>Conservador-HOTELARIAS</v>
      </c>
      <c r="H8" s="50">
        <f t="shared" si="0"/>
        <v>0</v>
      </c>
    </row>
    <row r="9" spans="1:8" ht="17.25" customHeight="1" x14ac:dyDescent="0.25">
      <c r="A9" s="40" t="str">
        <f t="shared" si="1"/>
        <v>Moderado-PAPEL</v>
      </c>
      <c r="B9" t="s">
        <v>35</v>
      </c>
      <c r="C9" s="25" t="s">
        <v>26</v>
      </c>
      <c r="D9" s="45">
        <v>0.32</v>
      </c>
      <c r="G9" s="40" t="str">
        <f t="shared" si="2"/>
        <v>Moderado-PAPEL</v>
      </c>
      <c r="H9" s="48">
        <f t="shared" si="0"/>
        <v>0.32</v>
      </c>
    </row>
    <row r="10" spans="1:8" ht="17.25" customHeight="1" x14ac:dyDescent="0.25">
      <c r="A10" s="40" t="str">
        <f t="shared" si="1"/>
        <v>Moderado-TIJOLO</v>
      </c>
      <c r="B10" t="s">
        <v>35</v>
      </c>
      <c r="C10" s="25" t="s">
        <v>27</v>
      </c>
      <c r="D10" s="45">
        <v>0.35</v>
      </c>
      <c r="G10" s="40" t="str">
        <f t="shared" si="2"/>
        <v>Moderado-TIJOLO</v>
      </c>
      <c r="H10" s="48">
        <f t="shared" si="0"/>
        <v>0.35</v>
      </c>
    </row>
    <row r="11" spans="1:8" ht="17.25" customHeight="1" x14ac:dyDescent="0.25">
      <c r="A11" s="40" t="str">
        <f t="shared" si="1"/>
        <v xml:space="preserve">Moderado-HÍBRIDOS </v>
      </c>
      <c r="B11" t="s">
        <v>35</v>
      </c>
      <c r="C11" s="25" t="s">
        <v>28</v>
      </c>
      <c r="D11" s="45">
        <v>0.08</v>
      </c>
      <c r="G11" s="40" t="str">
        <f t="shared" si="2"/>
        <v xml:space="preserve">Moderado-HÍBRIDOS </v>
      </c>
      <c r="H11" s="48">
        <f t="shared" si="0"/>
        <v>0.08</v>
      </c>
    </row>
    <row r="12" spans="1:8" ht="17.25" customHeight="1" x14ac:dyDescent="0.25">
      <c r="A12" s="40" t="str">
        <f t="shared" si="1"/>
        <v>Moderado-FOF's</v>
      </c>
      <c r="B12" t="s">
        <v>35</v>
      </c>
      <c r="C12" s="25" t="s">
        <v>29</v>
      </c>
      <c r="D12" s="45">
        <v>0.05</v>
      </c>
      <c r="G12" s="40" t="str">
        <f t="shared" si="2"/>
        <v>Moderado-FOF's</v>
      </c>
      <c r="H12" s="48">
        <f t="shared" si="0"/>
        <v>0.05</v>
      </c>
    </row>
    <row r="13" spans="1:8" ht="17.25" customHeight="1" x14ac:dyDescent="0.25">
      <c r="A13" s="40" t="str">
        <f t="shared" si="1"/>
        <v>Moderado-DESENVOLVIMENTO</v>
      </c>
      <c r="B13" t="s">
        <v>35</v>
      </c>
      <c r="C13" s="25" t="s">
        <v>30</v>
      </c>
      <c r="D13" s="45">
        <v>0.1</v>
      </c>
      <c r="G13" s="40" t="str">
        <f t="shared" si="2"/>
        <v>Moderado-DESENVOLVIMENTO</v>
      </c>
      <c r="H13" s="48">
        <f t="shared" si="0"/>
        <v>0.1</v>
      </c>
    </row>
    <row r="14" spans="1:8" ht="17.25" customHeight="1" x14ac:dyDescent="0.25">
      <c r="A14" s="41" t="str">
        <f t="shared" si="1"/>
        <v>Moderado-HOTELARIAS</v>
      </c>
      <c r="B14" s="34" t="s">
        <v>35</v>
      </c>
      <c r="C14" s="35" t="s">
        <v>31</v>
      </c>
      <c r="D14" s="46">
        <v>0.1</v>
      </c>
      <c r="G14" s="41" t="str">
        <f t="shared" si="2"/>
        <v>Moderado-HOTELARIAS</v>
      </c>
      <c r="H14" s="50">
        <f t="shared" si="0"/>
        <v>0.1</v>
      </c>
    </row>
    <row r="15" spans="1:8" ht="17.25" customHeight="1" x14ac:dyDescent="0.25">
      <c r="A15" s="40" t="str">
        <f t="shared" si="1"/>
        <v>Arrojado-PAPEL</v>
      </c>
      <c r="B15" t="s">
        <v>36</v>
      </c>
      <c r="C15" s="25" t="s">
        <v>26</v>
      </c>
      <c r="D15" s="45">
        <v>0.5</v>
      </c>
      <c r="G15" s="40" t="str">
        <f t="shared" si="2"/>
        <v>Arrojado-PAPEL</v>
      </c>
      <c r="H15" s="48">
        <f t="shared" si="0"/>
        <v>0.5</v>
      </c>
    </row>
    <row r="16" spans="1:8" ht="17.25" customHeight="1" x14ac:dyDescent="0.25">
      <c r="A16" s="40" t="str">
        <f t="shared" si="1"/>
        <v>Arrojado-TIJOLO</v>
      </c>
      <c r="B16" t="s">
        <v>36</v>
      </c>
      <c r="C16" s="25" t="s">
        <v>27</v>
      </c>
      <c r="D16" s="45">
        <v>0.1</v>
      </c>
      <c r="G16" s="40" t="str">
        <f t="shared" si="2"/>
        <v>Arrojado-TIJOLO</v>
      </c>
      <c r="H16" s="48">
        <f t="shared" si="0"/>
        <v>0.1</v>
      </c>
    </row>
    <row r="17" spans="1:8" ht="17.25" customHeight="1" x14ac:dyDescent="0.25">
      <c r="A17" s="40" t="str">
        <f t="shared" si="1"/>
        <v xml:space="preserve">Arrojado-HÍBRIDOS </v>
      </c>
      <c r="B17" t="s">
        <v>36</v>
      </c>
      <c r="C17" s="25" t="s">
        <v>28</v>
      </c>
      <c r="D17" s="45">
        <v>0.05</v>
      </c>
      <c r="G17" s="40" t="str">
        <f t="shared" si="2"/>
        <v xml:space="preserve">Arrojado-HÍBRIDOS </v>
      </c>
      <c r="H17" s="48">
        <f t="shared" si="0"/>
        <v>0.05</v>
      </c>
    </row>
    <row r="18" spans="1:8" ht="17.25" customHeight="1" x14ac:dyDescent="0.25">
      <c r="A18" s="40" t="str">
        <f t="shared" si="1"/>
        <v>Arrojado-FOF's</v>
      </c>
      <c r="B18" t="s">
        <v>36</v>
      </c>
      <c r="C18" s="25" t="s">
        <v>29</v>
      </c>
      <c r="D18" s="45">
        <v>0.05</v>
      </c>
      <c r="G18" s="40" t="str">
        <f t="shared" si="2"/>
        <v>Arrojado-FOF's</v>
      </c>
      <c r="H18" s="48">
        <f t="shared" si="0"/>
        <v>0.05</v>
      </c>
    </row>
    <row r="19" spans="1:8" ht="17.25" customHeight="1" x14ac:dyDescent="0.25">
      <c r="A19" s="40" t="str">
        <f t="shared" si="1"/>
        <v>Arrojado-DESENVOLVIMENTO</v>
      </c>
      <c r="B19" t="s">
        <v>36</v>
      </c>
      <c r="C19" s="25" t="s">
        <v>30</v>
      </c>
      <c r="D19" s="45">
        <v>0.2</v>
      </c>
      <c r="G19" s="40" t="str">
        <f t="shared" si="2"/>
        <v>Arrojado-DESENVOLVIMENTO</v>
      </c>
      <c r="H19" s="48">
        <f t="shared" si="0"/>
        <v>0.2</v>
      </c>
    </row>
    <row r="20" spans="1:8" ht="17.25" customHeight="1" x14ac:dyDescent="0.25">
      <c r="A20" s="42" t="str">
        <f t="shared" si="1"/>
        <v>Arrojado-HOTELARIAS</v>
      </c>
      <c r="B20" s="43" t="s">
        <v>36</v>
      </c>
      <c r="C20" s="44" t="s">
        <v>31</v>
      </c>
      <c r="D20" s="47">
        <v>0.1</v>
      </c>
      <c r="G20" s="42" t="str">
        <f t="shared" si="2"/>
        <v>Arrojado-HOTELARIAS</v>
      </c>
      <c r="H20" s="49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Calculadora de Dividendos</vt:lpstr>
      <vt:lpstr>Base</vt:lpstr>
      <vt:lpstr>aporte</vt:lpstr>
      <vt:lpstr>aporte_mensal</vt:lpstr>
      <vt:lpstr>aportes</vt:lpstr>
      <vt:lpstr>dividendos_mensais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Sacramento</dc:creator>
  <cp:keywords/>
  <dc:description/>
  <cp:lastModifiedBy>Amanda Sacramento</cp:lastModifiedBy>
  <cp:revision/>
  <dcterms:created xsi:type="dcterms:W3CDTF">2026-01-21T18:42:44Z</dcterms:created>
  <dcterms:modified xsi:type="dcterms:W3CDTF">2026-02-15T22:43:05Z</dcterms:modified>
  <cp:category/>
  <cp:contentStatus/>
</cp:coreProperties>
</file>